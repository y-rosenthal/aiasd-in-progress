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My Info" sheetId="2" state="visible" r:id="rId4"/>
    <sheet name="Command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<sst xmlns="http://schemas.openxmlformats.org/spreadsheetml/2006/main" count="248" uniqueCount="200">
  <si>
    <t xml:space="preserve">Task App Setup Worksheet</t>
  </si>
  <si>
    <t xml:space="preserve">While you set up the course's full-stack task app, you create accounts on several websites (Supabase, Google Cloud, OpenAI, Stripe, Vercel) and collect IDs, web addresses and keys. This workbook keeps them in one place and builds the exact lines you copy into your project.</t>
  </si>
  <si>
    <t xml:space="preserve">How the workbook works</t>
  </si>
  <si>
    <t xml:space="preserve">1. My Info: one row for each thing you record. Fill in the yellow cells as you go, following the course notes. The Example column shows what a value looks like (the examples are fake). Type Yes in the Done column when a row is finished.</t>
  </si>
  <si>
    <t xml:space="preserve">2. Commands: you never type here. Its formulas combine your My Info values into the lines you need: the two lines of .env.local, the terminal commands, the SQL for Supabase Vault, and the addresses you paste into Google, Supabase, Stripe and Vercel. A line shows "(fill in ... first)" until the values it needs are on My Info.</t>
  </si>
  <si>
    <t xml:space="preserve">3. To use a line: click its cell in the "Copy this" column, copy (Cmd+C on a Mac, Ctrl+C on Windows and Linux), and paste it where the Where column says. When you paste a command into the terminal it may run right away; that is fine. When you paste into a website's form, delete any space or blank line that comes along at the end.</t>
  </si>
  <si>
    <t xml:space="preserve">A word you'll see: OAuth</t>
  </si>
  <si>
    <t xml:space="preserve">OAuth is the standard behind "Sign in with Google": the user signs in at Google, and Google tells your app who they are, without your app ever seeing their password. The Google rows and the Google callback URL are your app's OAuth settings.</t>
  </si>
  <si>
    <t xml:space="preserve">Read more: OAuth in the course book (click)</t>
  </si>
  <si>
    <t xml:space="preserve">Colors</t>
  </si>
  <si>
    <t xml:space="preserve">Yellow cell: you type a value here.</t>
  </si>
  <si>
    <t xml:space="preserve">Gray cell: filled in for you by a formula. Don't type here.</t>
  </si>
  <si>
    <t xml:space="preserve">SECRET: anyone who has this value can use your account, and you may be billed.</t>
  </si>
  <si>
    <t xml:space="preserve">Keep this file safe</t>
  </si>
  <si>
    <t xml:space="preserve">- This file holds secret keys, so treat it like a password list.</t>
  </si>
  <si>
    <t xml:space="preserve">- Keep it in the folder projects/full-stack-demo-app in your home folder, NEXT TO the task-app folder (the Git repository), never inside it. Then Git can never commit it and push it to GitHub, where anyone could copy your keys.</t>
  </si>
  <si>
    <t xml:space="preserve">- Don't email it, upload it, or post a screenshot of it. Close it before you share your screen.</t>
  </si>
  <si>
    <t xml:space="preserve">- Don't paste secret keys into the Claude chat. Paste them yourself, into the file or website where they belong, and tell Claude when you are done.</t>
  </si>
  <si>
    <t xml:space="preserve">- Account passwords are not recorded here. Keep them in your browser's password manager. (The Supabase database password is the one exception: the Supabase CLI may ask for it.)</t>
  </si>
  <si>
    <t xml:space="preserve">- If a secret key leaks, delete it on the website that issued it and create a new one.</t>
  </si>
  <si>
    <t xml:space="preserve">- At the end of the semester, delete the keys on each website, then delete this file.</t>
  </si>
  <si>
    <t xml:space="preserve">My Info: fill in the yellow cells as you go</t>
  </si>
  <si>
    <t xml:space="preserve">Yellow = you type here. Gray = filled in for you. Examples are fake and only show the format. Keep this file outside your project folder.</t>
  </si>
  <si>
    <t xml:space="preserve">What to record</t>
  </si>
  <si>
    <t xml:space="preserve">Example (fake)</t>
  </si>
  <si>
    <t xml:space="preserve">Your value</t>
  </si>
  <si>
    <t xml:space="preserve">Secret?</t>
  </si>
  <si>
    <t xml:space="preserve">Where to find it</t>
  </si>
  <si>
    <t xml:space="preserve">Where you use it</t>
  </si>
  <si>
    <t xml:space="preserve">Done?</t>
  </si>
  <si>
    <t xml:space="preserve">Your computer</t>
  </si>
  <si>
    <t xml:space="preserve">Your computer: Mac, Windows or Linux</t>
  </si>
  <si>
    <t xml:space="preserve">Mac</t>
  </si>
  <si>
    <t xml:space="preserve">Choose from the list.</t>
  </si>
  <si>
    <t xml:space="preserve">Tells you which tab to follow in the course notes.</t>
  </si>
  <si>
    <t xml:space="preserve">The app's code folder (task-app) on your computer</t>
  </si>
  <si>
    <t xml:space="preserve">/Users/maria/projects/full-stack-demo-app/task-app   (Windows: /c/Users/sam/projects/full-stack-demo-app/task-app; Linux: /home/alex/projects/full-stack-demo-app/task-app)</t>
  </si>
  <si>
    <t xml:space="preserve">In the terminal, cd into the project folder and run pwd.</t>
  </si>
  <si>
    <t xml:space="preserve">Run every npx and npm command from this folder (cd into it first).</t>
  </si>
  <si>
    <t xml:space="preserve">GitHub</t>
  </si>
  <si>
    <t xml:space="preserve">GitHub username</t>
  </si>
  <si>
    <t xml:space="preserve">maria-lopez</t>
  </si>
  <si>
    <t xml:space="preserve">public</t>
  </si>
  <si>
    <t xml:space="preserve">github.com, click your picture (top right).</t>
  </si>
  <si>
    <t xml:space="preserve">Part of your fork's address.</t>
  </si>
  <si>
    <t xml:space="preserve">Your fork's address (filled in for you)</t>
  </si>
  <si>
    <t xml:space="preserve">Built from your GitHub username (name your fork task-app when you create it).</t>
  </si>
  <si>
    <t xml:space="preserve">git clone (see the Commands sheet).</t>
  </si>
  <si>
    <t xml:space="preserve">Supabase (database, login, file storage, Edge Functions)</t>
  </si>
  <si>
    <t xml:space="preserve">Email you use to sign in to Supabase</t>
  </si>
  <si>
    <t xml:space="preserve">maria@example.com</t>
  </si>
  <si>
    <t xml:space="preserve">supabase.com (signing in with GitHub is easiest).</t>
  </si>
  <si>
    <t xml:space="preserve">Signing in to the Supabase dashboard.</t>
  </si>
  <si>
    <t xml:space="preserve">Supabase project name</t>
  </si>
  <si>
    <t xml:space="preserve">task-app-2026-maria</t>
  </si>
  <si>
    <t xml:space="preserve">You choose it when you create the project.</t>
  </si>
  <si>
    <t xml:space="preserve">Finding your project in the dashboard.</t>
  </si>
  <si>
    <t xml:space="preserve">Database password</t>
  </si>
  <si>
    <t xml:space="preserve">(a long random password)</t>
  </si>
  <si>
    <t xml:space="preserve">SECRET</t>
  </si>
  <si>
    <t xml:space="preserve">You choose it when you create the project (use the Generate button). It is shown only then.</t>
  </si>
  <si>
    <t xml:space="preserve">The Supabase CLI may ask for it (npx supabase link, npx supabase db push).</t>
  </si>
  <si>
    <t xml:space="preserve">Project ref (Project ID)</t>
  </si>
  <si>
    <t xml:space="preserve">abcdefghijklmnopqrst</t>
  </si>
  <si>
    <t xml:space="preserve">Project Settings &gt; General &gt; Project ID. It is also the part of your project URL before .supabase.co.</t>
  </si>
  <si>
    <t xml:space="preserve">npx supabase link; it builds the URLs below.</t>
  </si>
  <si>
    <t xml:space="preserve">Project URL (filled in for you)</t>
  </si>
  <si>
    <t xml:space="preserve">Built from the project ref. Check it against the URL in the dashboard.</t>
  </si>
  <si>
    <t xml:space="preserve">.env.local (NEXT_PUBLIC_SUPABASE_URL) and Vercel.</t>
  </si>
  <si>
    <t xml:space="preserve">Publishable key</t>
  </si>
  <si>
    <t xml:space="preserve">sb_publishable_AbCdEf123...</t>
  </si>
  <si>
    <t xml:space="preserve">Project Settings &gt; API Keys, under Publishable key. Click the copy icon next to it: the page shows only the start of the key.</t>
  </si>
  <si>
    <t xml:space="preserve">.env.local (NEXT_PUBLIC_SUPABASE_PUBLISHABLE_KEY) and Vercel. Safe in a web page, but don't post it.</t>
  </si>
  <si>
    <t xml:space="preserve">Secret key. Only for the optional tests.</t>
  </si>
  <si>
    <t xml:space="preserve">sb_secret_AbCdEf123...</t>
  </si>
  <si>
    <t xml:space="preserve">Project Settings &gt; API Keys, under Secret keys. Click the copy icon next to it (the eye icon shows the key).</t>
  </si>
  <si>
    <t xml:space="preserve">.env.test.local only. Never in .env.local, never in Vercel: it bypasses all security.</t>
  </si>
  <si>
    <t xml:space="preserve">Google sign-in (OAuth) callback URL (filled in for you)</t>
  </si>
  <si>
    <t xml:space="preserve">Built from the project URL. Supabase also shows it on the Google provider page, as Callback URL (for OAuth).</t>
  </si>
  <si>
    <t xml:space="preserve">Google Cloud: Authorized redirect URI.</t>
  </si>
  <si>
    <t xml:space="preserve">Stripe webhook URL (filled in for you)</t>
  </si>
  <si>
    <t xml:space="preserve">Built from the project URL.</t>
  </si>
  <si>
    <t xml:space="preserve">Stripe: the webhook endpoint (event destination) URL.</t>
  </si>
  <si>
    <t xml:space="preserve">Your project's dashboard (filled in for you)</t>
  </si>
  <si>
    <t xml:space="preserve">Built from the project ref.</t>
  </si>
  <si>
    <t xml:space="preserve">Bookmark it.</t>
  </si>
  <si>
    <t xml:space="preserve">Google ("Sign in with Google", i.e. OAuth)</t>
  </si>
  <si>
    <t xml:space="preserve">Google account you use for Google Cloud</t>
  </si>
  <si>
    <t xml:space="preserve">maria.lopez@gmail.com</t>
  </si>
  <si>
    <t xml:space="preserve">console.cloud.google.com</t>
  </si>
  <si>
    <t xml:space="preserve">Signing in to Google Cloud Console.</t>
  </si>
  <si>
    <t xml:space="preserve">Google Cloud project name</t>
  </si>
  <si>
    <t xml:space="preserve">Finding the project in Google Cloud Console.</t>
  </si>
  <si>
    <t xml:space="preserve">OAuth Client ID</t>
  </si>
  <si>
    <t xml:space="preserve">123456789012-abc123def456.apps.googleusercontent.com</t>
  </si>
  <si>
    <t xml:space="preserve">Google Auth Platform &gt; Clients &gt; Create client (Web application).</t>
  </si>
  <si>
    <t xml:space="preserve">Supabase: Authentication &gt; Sign In / Providers &gt; Google.</t>
  </si>
  <si>
    <t xml:space="preserve">OAuth Client secret</t>
  </si>
  <si>
    <t xml:space="preserve">GOCSPX-AbCdEf123...</t>
  </si>
  <si>
    <t xml:space="preserve">Shown in full only when you create the client. Copy it right away (or download the JSON file).</t>
  </si>
  <si>
    <t xml:space="preserve">OpenAI (AI task labels; about $5 of prepaid credit)</t>
  </si>
  <si>
    <t xml:space="preserve">Email you use to sign in to OpenAI</t>
  </si>
  <si>
    <t xml:space="preserve">platform.openai.com</t>
  </si>
  <si>
    <t xml:space="preserve">Signing in to the OpenAI API platform.</t>
  </si>
  <si>
    <t xml:space="preserve">Credit you bought ($)</t>
  </si>
  <si>
    <t xml:space="preserve">Organization settings &gt; Billing &gt; Buy credits (first time: Add payment details). Keep auto-reload OFF.</t>
  </si>
  <si>
    <t xml:space="preserve">Your total budget. With auto-reload off, OpenAI never charges your card again on its own.</t>
  </si>
  <si>
    <t xml:space="preserve">OpenAI project name</t>
  </si>
  <si>
    <t xml:space="preserve">Create it from the project menu at the top left of platform.openai.com.</t>
  </si>
  <si>
    <t xml:space="preserve">Keeps this app's key and spending separate.</t>
  </si>
  <si>
    <t xml:space="preserve">Monthly spend limit you set for the project ($)</t>
  </si>
  <si>
    <t xml:space="preserve">Settings &gt; Limits &gt; Set spend limit. Turn ON "Enforce a hard limit".</t>
  </si>
  <si>
    <t xml:space="preserve">With the hard limit on, OpenAI refuses requests once the project reaches it.</t>
  </si>
  <si>
    <t xml:space="preserve">OpenAI API key</t>
  </si>
  <si>
    <t xml:space="preserve">sk-proj-AbCdEf123...</t>
  </si>
  <si>
    <t xml:space="preserve">Inside your project: API keys &gt; Create new secret key. Shown only once.</t>
  </si>
  <si>
    <t xml:space="preserve">npx supabase secrets set OPENAI_API_KEY=... (see the Commands sheet).</t>
  </si>
  <si>
    <t xml:space="preserve">Stripe (payments, test mode only: no real money)</t>
  </si>
  <si>
    <t xml:space="preserve">Email you use to sign in to Stripe</t>
  </si>
  <si>
    <t xml:space="preserve">dashboard.stripe.com</t>
  </si>
  <si>
    <t xml:space="preserve">Signing in to Stripe.</t>
  </si>
  <si>
    <t xml:space="preserve">Publishable key (test mode)</t>
  </si>
  <si>
    <t xml:space="preserve">pk_test_51AbCd...</t>
  </si>
  <si>
    <t xml:space="preserve">Stripe dashboard home page, or dashboard.stripe.com/apikeys (in your sandbox).</t>
  </si>
  <si>
    <t xml:space="preserve">Not used by this app's code. Record it anyway.</t>
  </si>
  <si>
    <t xml:space="preserve">Secret key (test mode)</t>
  </si>
  <si>
    <t xml:space="preserve">sk_test_51AbCd...</t>
  </si>
  <si>
    <t xml:space="preserve">Stripe dashboard home page, or dashboard.stripe.com/apikeys (in your sandbox). Click to reveal.</t>
  </si>
  <si>
    <t xml:space="preserve">Supabase secret STRIPE_SECRET_KEY, Supabase Vault (named stripe), .env.test.local.</t>
  </si>
  <si>
    <t xml:space="preserve">Product name</t>
  </si>
  <si>
    <t xml:space="preserve">TaskMaster Premium</t>
  </si>
  <si>
    <t xml:space="preserve">You choose it when you create the product (Product catalog).</t>
  </si>
  <si>
    <t xml:space="preserve">Shows on the checkout page.</t>
  </si>
  <si>
    <t xml:space="preserve">Price ID of the monthly price</t>
  </si>
  <si>
    <t xml:space="preserve">price_1AbCdEf...</t>
  </si>
  <si>
    <t xml:space="preserve">Product catalog &gt; your product &gt; click the price. The ID starts with price_.</t>
  </si>
  <si>
    <t xml:space="preserve">Supabase secret STRIPE_PRICE_ID, .env.test.local.</t>
  </si>
  <si>
    <t xml:space="preserve">Webhook signing secret</t>
  </si>
  <si>
    <t xml:space="preserve">whsec_AbCdEf123...</t>
  </si>
  <si>
    <t xml:space="preserve">dashboard.stripe.com/webhooks &gt; your event destination &gt; Signing secret &gt; Reveal.</t>
  </si>
  <si>
    <t xml:space="preserve">Supabase secret STRIPE_WEBHOOK_SECRET, .env.test.local.</t>
  </si>
  <si>
    <t xml:space="preserve">Vercel (putting the app online, at the end)</t>
  </si>
  <si>
    <t xml:space="preserve">How you sign in to Vercel</t>
  </si>
  <si>
    <t xml:space="preserve">Continue with GitHub</t>
  </si>
  <si>
    <t xml:space="preserve">vercel.com (signing in with GitHub is easiest).</t>
  </si>
  <si>
    <t xml:space="preserve">Signing in to Vercel.</t>
  </si>
  <si>
    <t xml:space="preserve">Your app's address on Vercel</t>
  </si>
  <si>
    <t xml:space="preserve">https://task-app-maria.vercel.app</t>
  </si>
  <si>
    <t xml:space="preserve">Your Vercel project's page, after the first deployment.</t>
  </si>
  <si>
    <t xml:space="preserve">Supabase URL Configuration; Google: Authorized JavaScript origins.</t>
  </si>
  <si>
    <t xml:space="preserve">Commands: copy a line from the "Copy this" column and paste it where the Where column says</t>
  </si>
  <si>
    <t xml:space="preserve">Don't type on this sheet: every line is built from your values on My Info. Copy one cell at a time.</t>
  </si>
  <si>
    <t xml:space="preserve">Where</t>
  </si>
  <si>
    <t xml:space="preserve">What it does</t>
  </si>
  <si>
    <t xml:space="preserve">Copy this</t>
  </si>
  <si>
    <t xml:space="preserve">1. Copy your fork to your computer (terminal, in your project folder: cd ~/projects/full-stack-demo-app)</t>
  </si>
  <si>
    <t xml:space="preserve">Terminal</t>
  </si>
  <si>
    <t xml:space="preserve">Clone your fork</t>
  </si>
  <si>
    <t xml:space="preserve">2. The file task-app/.env.local (open it in VS Code; one line per row, copy each line into the file)</t>
  </si>
  <si>
    <t xml:space="preserve">.env.local</t>
  </si>
  <si>
    <t xml:space="preserve">Line 1</t>
  </si>
  <si>
    <t xml:space="preserve">Line 2</t>
  </si>
  <si>
    <t xml:space="preserve">3. Terminal commands for the app (VS Code's terminal; start with the cd line)</t>
  </si>
  <si>
    <t xml:space="preserve">Go into the app's folder first (each new terminal starts in full-stack-demo-app)</t>
  </si>
  <si>
    <t xml:space="preserve">Update the Supabase CLI first (the project pins an old version)</t>
  </si>
  <si>
    <t xml:space="preserve">Sign in (opens your browser)</t>
  </si>
  <si>
    <t xml:space="preserve">Connect this folder to your project</t>
  </si>
  <si>
    <t xml:space="preserve">Create the tables, storage bucket and security rules</t>
  </si>
  <si>
    <t xml:space="preserve">Give the Edge Functions your OpenAI key</t>
  </si>
  <si>
    <t xml:space="preserve">Give the Edge Functions your Stripe secret key</t>
  </si>
  <si>
    <t xml:space="preserve">Give the Edge Functions your Stripe price ID</t>
  </si>
  <si>
    <t xml:space="preserve">Give the webhook its signing secret (after you create the webhook in Stripe)</t>
  </si>
  <si>
    <t xml:space="preserve">Deploy Edge Function 1 of 3</t>
  </si>
  <si>
    <t xml:space="preserve">Deploy Edge Function 2 of 3</t>
  </si>
  <si>
    <t xml:space="preserve">Deploy Edge Function 3 of 3 (Stripe calls it, so it must not require a login)</t>
  </si>
  <si>
    <t xml:space="preserve">4. Supabase SQL Editor (dashboard &gt; SQL Editor &gt; New query; paste, then click Run)</t>
  </si>
  <si>
    <t xml:space="preserve">SQL Editor</t>
  </si>
  <si>
    <t xml:space="preserve">Store the Stripe secret key in Supabase Vault, named stripe</t>
  </si>
  <si>
    <t xml:space="preserve">5. Paste into websites</t>
  </si>
  <si>
    <t xml:space="preserve">Google Cloud</t>
  </si>
  <si>
    <t xml:space="preserve">Client &gt; Authorized JavaScript origins (local)</t>
  </si>
  <si>
    <t xml:space="preserve">Client &gt; Authorized redirect URIs</t>
  </si>
  <si>
    <t xml:space="preserve">Supabase</t>
  </si>
  <si>
    <t xml:space="preserve">Authentication &gt; URL Configuration &gt; Site URL (while you work locally)</t>
  </si>
  <si>
    <t xml:space="preserve">Authentication &gt; URL Configuration &gt; Redirect URLs (local)</t>
  </si>
  <si>
    <t xml:space="preserve">Stripe</t>
  </si>
  <si>
    <t xml:space="preserve">Webhook event destination &gt; Endpoint URL (payload style: Snapshot)</t>
  </si>
  <si>
    <t xml:space="preserve">6. After you deploy to Vercel</t>
  </si>
  <si>
    <t xml:space="preserve">Vercel</t>
  </si>
  <si>
    <t xml:space="preserve">Environment variable NEXT_PUBLIC_SUPABASE_URL (value)</t>
  </si>
  <si>
    <t xml:space="preserve">Environment variable NEXT_PUBLIC_SUPABASE_PUBLISHABLE_KEY (value)</t>
  </si>
  <si>
    <t xml:space="preserve">Authentication &gt; URL Configuration &gt; Site URL (once the app is online)</t>
  </si>
  <si>
    <t xml:space="preserve">Authentication &gt; URL Configuration &gt; Redirect URLs (add this one too)</t>
  </si>
  <si>
    <t xml:space="preserve">Client &gt; Authorized JavaScript origins (add this one too)</t>
  </si>
  <si>
    <t xml:space="preserve">7. Optional: task-app/.env.test.local for the automated tests (one line per row)</t>
  </si>
  <si>
    <t xml:space="preserve">.env.test.local</t>
  </si>
  <si>
    <t xml:space="preserve">Line 3</t>
  </si>
  <si>
    <t xml:space="preserve">Line 4</t>
  </si>
  <si>
    <t xml:space="preserve">Line 5</t>
  </si>
  <si>
    <t xml:space="preserve">Line 6</t>
  </si>
</sst>
</file>

<file path=xl/styles.xml><?xml version="1.0" encoding="utf-8"?>
<styleSheet xmlns="http://schemas.openxmlformats.org/spreadsheetml/2006/main">
  <numFmts count="3">
    <numFmt numFmtId="164" formatCode="General"/>
    <numFmt numFmtId="165" formatCode="@"/>
    <numFmt numFmtId="166" formatCode="\$#,##0.00"/>
  </numFmts>
  <fonts count="14">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0"/>
      <name val="Arial"/>
      <family val="0"/>
      <charset val="1"/>
    </font>
    <font>
      <b val="true"/>
      <sz val="12"/>
      <name val="Arial"/>
      <family val="0"/>
      <charset val="1"/>
    </font>
    <font>
      <u val="single"/>
      <sz val="10"/>
      <color rgb="FF0563C1"/>
      <name val="Arial"/>
      <family val="0"/>
      <charset val="1"/>
    </font>
    <font>
      <b val="true"/>
      <sz val="10"/>
      <color rgb="FFC00000"/>
      <name val="Arial"/>
      <family val="0"/>
      <charset val="1"/>
    </font>
    <font>
      <b val="true"/>
      <sz val="14"/>
      <name val="Arial"/>
      <family val="0"/>
      <charset val="1"/>
    </font>
    <font>
      <b val="true"/>
      <sz val="10"/>
      <color rgb="FFFFFFFF"/>
      <name val="Arial"/>
      <family val="0"/>
      <charset val="1"/>
    </font>
    <font>
      <b val="true"/>
      <sz val="10"/>
      <name val="Arial"/>
      <family val="0"/>
      <charset val="1"/>
    </font>
    <font>
      <i val="true"/>
      <sz val="10"/>
      <color rgb="FF595959"/>
      <name val="Arial"/>
      <family val="0"/>
      <charset val="1"/>
    </font>
    <font>
      <sz val="10"/>
      <name val="Courier New"/>
      <family val="0"/>
      <charset val="1"/>
    </font>
  </fonts>
  <fills count="6">
    <fill>
      <patternFill patternType="none"/>
    </fill>
    <fill>
      <patternFill patternType="gray125"/>
    </fill>
    <fill>
      <patternFill patternType="solid">
        <fgColor rgb="FFFFF2CC"/>
        <bgColor rgb="FFEDEDED"/>
      </patternFill>
    </fill>
    <fill>
      <patternFill patternType="solid">
        <fgColor rgb="FFEDEDED"/>
        <bgColor rgb="FFE2EFDA"/>
      </patternFill>
    </fill>
    <fill>
      <patternFill patternType="solid">
        <fgColor rgb="FF1F3864"/>
        <bgColor rgb="FF333333"/>
      </patternFill>
    </fill>
    <fill>
      <patternFill patternType="solid">
        <fgColor rgb="FFD9E1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5" fontId="5" fillId="2"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6" fontId="12" fillId="0" borderId="1" xfId="0" applyFont="true" applyBorder="true" applyAlignment="true" applyProtection="false">
      <alignment horizontal="general" vertical="top" textRotation="0" wrapText="true" indent="0" shrinkToFit="false"/>
      <protection locked="true" hidden="false"/>
    </xf>
    <xf numFmtId="166" fontId="5" fillId="2"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E2EFDA"/>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y-rosenthal.github.io/aiasd-in-progress/040600-apisKeysAndThirdPartyServices-v001.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9.7" hidden="false" customHeight="false" outlineLevel="0" collapsed="false">
      <c r="A1" s="1" t="s">
        <v>0</v>
      </c>
    </row>
    <row r="2" customFormat="false" ht="35.05" hidden="false" customHeight="false" outlineLevel="0" collapsed="false">
      <c r="A2" s="2" t="s">
        <v>1</v>
      </c>
    </row>
    <row r="3" customFormat="false" ht="15" hidden="false" customHeight="false" outlineLevel="0" collapsed="false">
      <c r="A3" s="3" t="s">
        <v>2</v>
      </c>
    </row>
    <row r="4" customFormat="false" ht="23.85" hidden="false" customHeight="false" outlineLevel="0" collapsed="false">
      <c r="A4" s="2" t="s">
        <v>3</v>
      </c>
    </row>
    <row r="5" customFormat="false" ht="35.05" hidden="false" customHeight="false" outlineLevel="0" collapsed="false">
      <c r="A5" s="2" t="s">
        <v>4</v>
      </c>
    </row>
    <row r="6" customFormat="false" ht="35.05" hidden="false" customHeight="false" outlineLevel="0" collapsed="false">
      <c r="A6" s="2" t="s">
        <v>5</v>
      </c>
    </row>
    <row r="7" customFormat="false" ht="15" hidden="false" customHeight="false" outlineLevel="0" collapsed="false">
      <c r="A7" s="3" t="s">
        <v>6</v>
      </c>
    </row>
    <row r="8" customFormat="false" ht="23.85" hidden="false" customHeight="false" outlineLevel="0" collapsed="false">
      <c r="A8" s="2" t="s">
        <v>7</v>
      </c>
    </row>
    <row r="9" customFormat="false" ht="15" hidden="false" customHeight="false" outlineLevel="0" collapsed="false">
      <c r="A9" s="4" t="s">
        <v>8</v>
      </c>
    </row>
    <row r="10" customFormat="false" ht="15" hidden="false" customHeight="false" outlineLevel="0" collapsed="false">
      <c r="A10" s="3" t="s">
        <v>9</v>
      </c>
    </row>
    <row r="11" customFormat="false" ht="15" hidden="false" customHeight="false" outlineLevel="0" collapsed="false">
      <c r="A11" s="5" t="s">
        <v>10</v>
      </c>
    </row>
    <row r="12" customFormat="false" ht="15" hidden="false" customHeight="false" outlineLevel="0" collapsed="false">
      <c r="A12" s="6" t="s">
        <v>11</v>
      </c>
    </row>
    <row r="13" customFormat="false" ht="15" hidden="false" customHeight="false" outlineLevel="0" collapsed="false">
      <c r="A13" s="7" t="s">
        <v>12</v>
      </c>
    </row>
    <row r="14" customFormat="false" ht="15" hidden="false" customHeight="false" outlineLevel="0" collapsed="false">
      <c r="A14" s="3" t="s">
        <v>13</v>
      </c>
    </row>
    <row r="15" customFormat="false" ht="15" hidden="false" customHeight="false" outlineLevel="0" collapsed="false">
      <c r="A15" s="2" t="s">
        <v>14</v>
      </c>
    </row>
    <row r="16" customFormat="false" ht="23.85" hidden="false" customHeight="false" outlineLevel="0" collapsed="false">
      <c r="A16" s="2" t="s">
        <v>15</v>
      </c>
    </row>
    <row r="17" customFormat="false" ht="15" hidden="false" customHeight="false" outlineLevel="0" collapsed="false">
      <c r="A17" s="2" t="s">
        <v>16</v>
      </c>
    </row>
    <row r="18" customFormat="false" ht="23.85" hidden="false" customHeight="false" outlineLevel="0" collapsed="false">
      <c r="A18" s="2" t="s">
        <v>17</v>
      </c>
    </row>
    <row r="19" customFormat="false" ht="23.85" hidden="false" customHeight="false" outlineLevel="0" collapsed="false">
      <c r="A19" s="2" t="s">
        <v>18</v>
      </c>
    </row>
    <row r="20" customFormat="false" ht="15" hidden="false" customHeight="false" outlineLevel="0" collapsed="false">
      <c r="A20" s="2" t="s">
        <v>19</v>
      </c>
    </row>
    <row r="21" customFormat="false" ht="15" hidden="false" customHeight="false" outlineLevel="0" collapsed="false">
      <c r="A21" s="2" t="s">
        <v>20</v>
      </c>
    </row>
  </sheetData>
  <hyperlinks>
    <hyperlink ref="A9" r:id="rId1" location="oauth" display="Read more: OAuth in the course book (click)"/>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2"/>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34"/>
    <col collapsed="false" customWidth="true" hidden="false" outlineLevel="0" max="3" min="3" style="0" width="44"/>
    <col collapsed="false" customWidth="true" hidden="false" outlineLevel="0" max="4" min="4" style="0" width="10"/>
    <col collapsed="false" customWidth="true" hidden="false" outlineLevel="0" max="6" min="5" style="0" width="46"/>
    <col collapsed="false" customWidth="true" hidden="false" outlineLevel="0" max="7" min="7" style="0" width="8"/>
  </cols>
  <sheetData>
    <row r="1" customFormat="false" ht="17.35" hidden="false" customHeight="false" outlineLevel="0" collapsed="false">
      <c r="A1" s="8" t="s">
        <v>21</v>
      </c>
      <c r="E1" s="9" t="str">
        <f aca="false">"Done: "&amp;COUNTIF(G5:G42,"Yes")&amp;" of 26 rows"</f>
        <v>Done: 0 of 26 rows</v>
      </c>
    </row>
    <row r="2" customFormat="false" ht="15" hidden="false" customHeight="false" outlineLevel="0" collapsed="false">
      <c r="A2" s="10" t="s">
        <v>22</v>
      </c>
    </row>
    <row r="4" customFormat="false" ht="15" hidden="false" customHeight="false" outlineLevel="0" collapsed="false">
      <c r="A4" s="11" t="s">
        <v>23</v>
      </c>
      <c r="B4" s="11" t="s">
        <v>24</v>
      </c>
      <c r="C4" s="11" t="s">
        <v>25</v>
      </c>
      <c r="D4" s="11" t="s">
        <v>26</v>
      </c>
      <c r="E4" s="11" t="s">
        <v>27</v>
      </c>
      <c r="F4" s="11" t="s">
        <v>28</v>
      </c>
      <c r="G4" s="11" t="s">
        <v>29</v>
      </c>
    </row>
    <row r="5" customFormat="false" ht="15" hidden="false" customHeight="false" outlineLevel="0" collapsed="false">
      <c r="A5" s="12" t="s">
        <v>30</v>
      </c>
      <c r="B5" s="13"/>
      <c r="C5" s="13"/>
      <c r="D5" s="13"/>
      <c r="E5" s="13"/>
      <c r="F5" s="13"/>
      <c r="G5" s="13"/>
    </row>
    <row r="6" customFormat="false" ht="15" hidden="false" customHeight="false" outlineLevel="0" collapsed="false">
      <c r="A6" s="14" t="s">
        <v>31</v>
      </c>
      <c r="B6" s="15" t="s">
        <v>32</v>
      </c>
      <c r="C6" s="16"/>
      <c r="D6" s="14"/>
      <c r="E6" s="14" t="s">
        <v>33</v>
      </c>
      <c r="F6" s="14" t="s">
        <v>34</v>
      </c>
      <c r="G6" s="5"/>
    </row>
    <row r="7" customFormat="false" ht="68.65" hidden="false" customHeight="false" outlineLevel="0" collapsed="false">
      <c r="A7" s="14" t="s">
        <v>35</v>
      </c>
      <c r="B7" s="15" t="s">
        <v>36</v>
      </c>
      <c r="C7" s="16"/>
      <c r="D7" s="14"/>
      <c r="E7" s="14" t="s">
        <v>37</v>
      </c>
      <c r="F7" s="14" t="s">
        <v>38</v>
      </c>
      <c r="G7" s="5"/>
    </row>
    <row r="8" customFormat="false" ht="15" hidden="false" customHeight="false" outlineLevel="0" collapsed="false">
      <c r="A8" s="12" t="s">
        <v>39</v>
      </c>
      <c r="B8" s="13"/>
      <c r="C8" s="13"/>
      <c r="D8" s="13"/>
      <c r="E8" s="13"/>
      <c r="F8" s="13"/>
      <c r="G8" s="13"/>
    </row>
    <row r="9" customFormat="false" ht="15" hidden="false" customHeight="false" outlineLevel="0" collapsed="false">
      <c r="A9" s="14" t="s">
        <v>40</v>
      </c>
      <c r="B9" s="15" t="s">
        <v>41</v>
      </c>
      <c r="C9" s="16"/>
      <c r="D9" s="14" t="s">
        <v>42</v>
      </c>
      <c r="E9" s="14" t="s">
        <v>43</v>
      </c>
      <c r="F9" s="14" t="s">
        <v>44</v>
      </c>
      <c r="G9" s="5"/>
    </row>
    <row r="10" customFormat="false" ht="23.85" hidden="false" customHeight="false" outlineLevel="0" collapsed="false">
      <c r="A10" s="14" t="s">
        <v>45</v>
      </c>
      <c r="B10" s="15"/>
      <c r="C10" s="6" t="str">
        <f aca="false">IF('My Info'!$C$9="","","https://github.com/"&amp;'My Info'!$C$9&amp;"/task-app")</f>
        <v/>
      </c>
      <c r="D10" s="14" t="s">
        <v>42</v>
      </c>
      <c r="E10" s="14" t="s">
        <v>46</v>
      </c>
      <c r="F10" s="14" t="s">
        <v>47</v>
      </c>
      <c r="G10" s="14"/>
    </row>
    <row r="11" customFormat="false" ht="15" hidden="false" customHeight="false" outlineLevel="0" collapsed="false">
      <c r="A11" s="12" t="s">
        <v>48</v>
      </c>
      <c r="B11" s="13"/>
      <c r="C11" s="13"/>
      <c r="D11" s="13"/>
      <c r="E11" s="13"/>
      <c r="F11" s="13"/>
      <c r="G11" s="13"/>
    </row>
    <row r="12" customFormat="false" ht="15" hidden="false" customHeight="false" outlineLevel="0" collapsed="false">
      <c r="A12" s="14" t="s">
        <v>49</v>
      </c>
      <c r="B12" s="15" t="s">
        <v>50</v>
      </c>
      <c r="C12" s="16"/>
      <c r="D12" s="14"/>
      <c r="E12" s="14" t="s">
        <v>51</v>
      </c>
      <c r="F12" s="14" t="s">
        <v>52</v>
      </c>
      <c r="G12" s="5"/>
    </row>
    <row r="13" customFormat="false" ht="15" hidden="false" customHeight="false" outlineLevel="0" collapsed="false">
      <c r="A13" s="14" t="s">
        <v>53</v>
      </c>
      <c r="B13" s="15" t="s">
        <v>54</v>
      </c>
      <c r="C13" s="16"/>
      <c r="D13" s="14"/>
      <c r="E13" s="14" t="s">
        <v>55</v>
      </c>
      <c r="F13" s="14" t="s">
        <v>56</v>
      </c>
      <c r="G13" s="5"/>
    </row>
    <row r="14" customFormat="false" ht="23.85" hidden="false" customHeight="false" outlineLevel="0" collapsed="false">
      <c r="A14" s="14" t="s">
        <v>57</v>
      </c>
      <c r="B14" s="15" t="s">
        <v>58</v>
      </c>
      <c r="C14" s="16"/>
      <c r="D14" s="17" t="s">
        <v>59</v>
      </c>
      <c r="E14" s="14" t="s">
        <v>60</v>
      </c>
      <c r="F14" s="14" t="s">
        <v>61</v>
      </c>
      <c r="G14" s="5"/>
    </row>
    <row r="15" customFormat="false" ht="23.85" hidden="false" customHeight="false" outlineLevel="0" collapsed="false">
      <c r="A15" s="14" t="s">
        <v>62</v>
      </c>
      <c r="B15" s="15" t="s">
        <v>63</v>
      </c>
      <c r="C15" s="16"/>
      <c r="D15" s="14" t="s">
        <v>42</v>
      </c>
      <c r="E15" s="14" t="s">
        <v>64</v>
      </c>
      <c r="F15" s="14" t="s">
        <v>65</v>
      </c>
      <c r="G15" s="5"/>
    </row>
    <row r="16" customFormat="false" ht="23.85" hidden="false" customHeight="false" outlineLevel="0" collapsed="false">
      <c r="A16" s="14" t="s">
        <v>66</v>
      </c>
      <c r="B16" s="15"/>
      <c r="C16" s="6" t="str">
        <f aca="false">IF('My Info'!$C$15="","","https://"&amp;'My Info'!$C$15&amp;".supabase.co")</f>
        <v/>
      </c>
      <c r="D16" s="14" t="s">
        <v>42</v>
      </c>
      <c r="E16" s="14" t="s">
        <v>67</v>
      </c>
      <c r="F16" s="14" t="s">
        <v>68</v>
      </c>
      <c r="G16" s="14"/>
    </row>
    <row r="17" customFormat="false" ht="35.05" hidden="false" customHeight="false" outlineLevel="0" collapsed="false">
      <c r="A17" s="14" t="s">
        <v>69</v>
      </c>
      <c r="B17" s="15" t="s">
        <v>70</v>
      </c>
      <c r="C17" s="16"/>
      <c r="D17" s="14" t="s">
        <v>42</v>
      </c>
      <c r="E17" s="14" t="s">
        <v>71</v>
      </c>
      <c r="F17" s="14" t="s">
        <v>72</v>
      </c>
      <c r="G17" s="5"/>
    </row>
    <row r="18" customFormat="false" ht="23.85" hidden="false" customHeight="false" outlineLevel="0" collapsed="false">
      <c r="A18" s="14" t="s">
        <v>73</v>
      </c>
      <c r="B18" s="15" t="s">
        <v>74</v>
      </c>
      <c r="C18" s="16"/>
      <c r="D18" s="17" t="s">
        <v>59</v>
      </c>
      <c r="E18" s="14" t="s">
        <v>75</v>
      </c>
      <c r="F18" s="14" t="s">
        <v>76</v>
      </c>
      <c r="G18" s="5"/>
    </row>
    <row r="19" customFormat="false" ht="23.85" hidden="false" customHeight="false" outlineLevel="0" collapsed="false">
      <c r="A19" s="14" t="s">
        <v>77</v>
      </c>
      <c r="B19" s="15"/>
      <c r="C19" s="6" t="str">
        <f aca="false">IF('My Info'!$C$15="","",'My Info'!$C$16&amp;"/auth/v1/callback")</f>
        <v/>
      </c>
      <c r="D19" s="14" t="s">
        <v>42</v>
      </c>
      <c r="E19" s="14" t="s">
        <v>78</v>
      </c>
      <c r="F19" s="14" t="s">
        <v>79</v>
      </c>
      <c r="G19" s="14"/>
    </row>
    <row r="20" customFormat="false" ht="15" hidden="false" customHeight="false" outlineLevel="0" collapsed="false">
      <c r="A20" s="14" t="s">
        <v>80</v>
      </c>
      <c r="B20" s="15"/>
      <c r="C20" s="6" t="str">
        <f aca="false">IF('My Info'!$C$15="","",'My Info'!$C$16&amp;"/functions/v1/stripe-webhook")</f>
        <v/>
      </c>
      <c r="D20" s="14" t="s">
        <v>42</v>
      </c>
      <c r="E20" s="14" t="s">
        <v>81</v>
      </c>
      <c r="F20" s="14" t="s">
        <v>82</v>
      </c>
      <c r="G20" s="14"/>
    </row>
    <row r="21" customFormat="false" ht="15" hidden="false" customHeight="false" outlineLevel="0" collapsed="false">
      <c r="A21" s="14" t="s">
        <v>83</v>
      </c>
      <c r="B21" s="15"/>
      <c r="C21" s="6" t="str">
        <f aca="false">IF('My Info'!$C$15="","","https://supabase.com/dashboard/project/"&amp;'My Info'!$C$15)</f>
        <v/>
      </c>
      <c r="D21" s="14" t="s">
        <v>42</v>
      </c>
      <c r="E21" s="14" t="s">
        <v>84</v>
      </c>
      <c r="F21" s="14" t="s">
        <v>85</v>
      </c>
      <c r="G21" s="14"/>
    </row>
    <row r="22" customFormat="false" ht="15" hidden="false" customHeight="false" outlineLevel="0" collapsed="false">
      <c r="A22" s="12" t="s">
        <v>86</v>
      </c>
      <c r="B22" s="13"/>
      <c r="C22" s="13"/>
      <c r="D22" s="13"/>
      <c r="E22" s="13"/>
      <c r="F22" s="13"/>
      <c r="G22" s="13"/>
    </row>
    <row r="23" customFormat="false" ht="15" hidden="false" customHeight="false" outlineLevel="0" collapsed="false">
      <c r="A23" s="14" t="s">
        <v>87</v>
      </c>
      <c r="B23" s="15" t="s">
        <v>88</v>
      </c>
      <c r="C23" s="16"/>
      <c r="D23" s="14"/>
      <c r="E23" s="14" t="s">
        <v>89</v>
      </c>
      <c r="F23" s="14" t="s">
        <v>90</v>
      </c>
      <c r="G23" s="5"/>
    </row>
    <row r="24" customFormat="false" ht="15" hidden="false" customHeight="false" outlineLevel="0" collapsed="false">
      <c r="A24" s="14" t="s">
        <v>91</v>
      </c>
      <c r="B24" s="15" t="s">
        <v>54</v>
      </c>
      <c r="C24" s="16"/>
      <c r="D24" s="14"/>
      <c r="E24" s="14" t="s">
        <v>55</v>
      </c>
      <c r="F24" s="14" t="s">
        <v>92</v>
      </c>
      <c r="G24" s="5"/>
    </row>
    <row r="25" customFormat="false" ht="35.05" hidden="false" customHeight="false" outlineLevel="0" collapsed="false">
      <c r="A25" s="14" t="s">
        <v>93</v>
      </c>
      <c r="B25" s="15" t="s">
        <v>94</v>
      </c>
      <c r="C25" s="16"/>
      <c r="D25" s="14" t="s">
        <v>42</v>
      </c>
      <c r="E25" s="14" t="s">
        <v>95</v>
      </c>
      <c r="F25" s="14" t="s">
        <v>96</v>
      </c>
      <c r="G25" s="5"/>
    </row>
    <row r="26" customFormat="false" ht="23.85" hidden="false" customHeight="false" outlineLevel="0" collapsed="false">
      <c r="A26" s="14" t="s">
        <v>97</v>
      </c>
      <c r="B26" s="15" t="s">
        <v>98</v>
      </c>
      <c r="C26" s="16"/>
      <c r="D26" s="17" t="s">
        <v>59</v>
      </c>
      <c r="E26" s="14" t="s">
        <v>99</v>
      </c>
      <c r="F26" s="14" t="s">
        <v>96</v>
      </c>
      <c r="G26" s="5"/>
    </row>
    <row r="27" customFormat="false" ht="15" hidden="false" customHeight="false" outlineLevel="0" collapsed="false">
      <c r="A27" s="12" t="s">
        <v>100</v>
      </c>
      <c r="B27" s="13"/>
      <c r="C27" s="13"/>
      <c r="D27" s="13"/>
      <c r="E27" s="13"/>
      <c r="F27" s="13"/>
      <c r="G27" s="13"/>
    </row>
    <row r="28" customFormat="false" ht="15" hidden="false" customHeight="false" outlineLevel="0" collapsed="false">
      <c r="A28" s="14" t="s">
        <v>101</v>
      </c>
      <c r="B28" s="15" t="s">
        <v>50</v>
      </c>
      <c r="C28" s="16"/>
      <c r="D28" s="14"/>
      <c r="E28" s="14" t="s">
        <v>102</v>
      </c>
      <c r="F28" s="14" t="s">
        <v>103</v>
      </c>
      <c r="G28" s="5"/>
    </row>
    <row r="29" customFormat="false" ht="23.85" hidden="false" customHeight="false" outlineLevel="0" collapsed="false">
      <c r="A29" s="14" t="s">
        <v>104</v>
      </c>
      <c r="B29" s="18" t="n">
        <v>5</v>
      </c>
      <c r="C29" s="19"/>
      <c r="D29" s="14"/>
      <c r="E29" s="14" t="s">
        <v>105</v>
      </c>
      <c r="F29" s="14" t="s">
        <v>106</v>
      </c>
      <c r="G29" s="5"/>
    </row>
    <row r="30" customFormat="false" ht="23.85" hidden="false" customHeight="false" outlineLevel="0" collapsed="false">
      <c r="A30" s="14" t="s">
        <v>107</v>
      </c>
      <c r="B30" s="15" t="s">
        <v>54</v>
      </c>
      <c r="C30" s="16"/>
      <c r="D30" s="14"/>
      <c r="E30" s="14" t="s">
        <v>108</v>
      </c>
      <c r="F30" s="14" t="s">
        <v>109</v>
      </c>
      <c r="G30" s="5"/>
    </row>
    <row r="31" customFormat="false" ht="23.85" hidden="false" customHeight="false" outlineLevel="0" collapsed="false">
      <c r="A31" s="14" t="s">
        <v>110</v>
      </c>
      <c r="B31" s="18" t="n">
        <v>5</v>
      </c>
      <c r="C31" s="19"/>
      <c r="D31" s="14"/>
      <c r="E31" s="14" t="s">
        <v>111</v>
      </c>
      <c r="F31" s="14" t="s">
        <v>112</v>
      </c>
      <c r="G31" s="5"/>
    </row>
    <row r="32" customFormat="false" ht="23.85" hidden="false" customHeight="false" outlineLevel="0" collapsed="false">
      <c r="A32" s="14" t="s">
        <v>113</v>
      </c>
      <c r="B32" s="15" t="s">
        <v>114</v>
      </c>
      <c r="C32" s="16"/>
      <c r="D32" s="17" t="s">
        <v>59</v>
      </c>
      <c r="E32" s="14" t="s">
        <v>115</v>
      </c>
      <c r="F32" s="14" t="s">
        <v>116</v>
      </c>
      <c r="G32" s="5"/>
    </row>
    <row r="33" customFormat="false" ht="15" hidden="false" customHeight="false" outlineLevel="0" collapsed="false">
      <c r="A33" s="12" t="s">
        <v>117</v>
      </c>
      <c r="B33" s="13"/>
      <c r="C33" s="13"/>
      <c r="D33" s="13"/>
      <c r="E33" s="13"/>
      <c r="F33" s="13"/>
      <c r="G33" s="13"/>
    </row>
    <row r="34" customFormat="false" ht="15" hidden="false" customHeight="false" outlineLevel="0" collapsed="false">
      <c r="A34" s="14" t="s">
        <v>118</v>
      </c>
      <c r="B34" s="15" t="s">
        <v>50</v>
      </c>
      <c r="C34" s="16"/>
      <c r="D34" s="14"/>
      <c r="E34" s="14" t="s">
        <v>119</v>
      </c>
      <c r="F34" s="14" t="s">
        <v>120</v>
      </c>
      <c r="G34" s="5"/>
    </row>
    <row r="35" customFormat="false" ht="23.85" hidden="false" customHeight="false" outlineLevel="0" collapsed="false">
      <c r="A35" s="14" t="s">
        <v>121</v>
      </c>
      <c r="B35" s="15" t="s">
        <v>122</v>
      </c>
      <c r="C35" s="16"/>
      <c r="D35" s="14" t="s">
        <v>42</v>
      </c>
      <c r="E35" s="14" t="s">
        <v>123</v>
      </c>
      <c r="F35" s="14" t="s">
        <v>124</v>
      </c>
      <c r="G35" s="5"/>
    </row>
    <row r="36" customFormat="false" ht="35.05" hidden="false" customHeight="false" outlineLevel="0" collapsed="false">
      <c r="A36" s="14" t="s">
        <v>125</v>
      </c>
      <c r="B36" s="15" t="s">
        <v>126</v>
      </c>
      <c r="C36" s="16"/>
      <c r="D36" s="17" t="s">
        <v>59</v>
      </c>
      <c r="E36" s="14" t="s">
        <v>127</v>
      </c>
      <c r="F36" s="14" t="s">
        <v>128</v>
      </c>
      <c r="G36" s="5"/>
    </row>
    <row r="37" customFormat="false" ht="23.85" hidden="false" customHeight="false" outlineLevel="0" collapsed="false">
      <c r="A37" s="14" t="s">
        <v>129</v>
      </c>
      <c r="B37" s="15" t="s">
        <v>130</v>
      </c>
      <c r="C37" s="16"/>
      <c r="D37" s="14"/>
      <c r="E37" s="14" t="s">
        <v>131</v>
      </c>
      <c r="F37" s="14" t="s">
        <v>132</v>
      </c>
      <c r="G37" s="5"/>
    </row>
    <row r="38" customFormat="false" ht="23.85" hidden="false" customHeight="false" outlineLevel="0" collapsed="false">
      <c r="A38" s="14" t="s">
        <v>133</v>
      </c>
      <c r="B38" s="15" t="s">
        <v>134</v>
      </c>
      <c r="C38" s="16"/>
      <c r="D38" s="14" t="s">
        <v>42</v>
      </c>
      <c r="E38" s="14" t="s">
        <v>135</v>
      </c>
      <c r="F38" s="14" t="s">
        <v>136</v>
      </c>
      <c r="G38" s="5"/>
    </row>
    <row r="39" customFormat="false" ht="23.85" hidden="false" customHeight="false" outlineLevel="0" collapsed="false">
      <c r="A39" s="14" t="s">
        <v>137</v>
      </c>
      <c r="B39" s="15" t="s">
        <v>138</v>
      </c>
      <c r="C39" s="16"/>
      <c r="D39" s="17" t="s">
        <v>59</v>
      </c>
      <c r="E39" s="14" t="s">
        <v>139</v>
      </c>
      <c r="F39" s="14" t="s">
        <v>140</v>
      </c>
      <c r="G39" s="5"/>
    </row>
    <row r="40" customFormat="false" ht="15" hidden="false" customHeight="false" outlineLevel="0" collapsed="false">
      <c r="A40" s="12" t="s">
        <v>141</v>
      </c>
      <c r="B40" s="13"/>
      <c r="C40" s="13"/>
      <c r="D40" s="13"/>
      <c r="E40" s="13"/>
      <c r="F40" s="13"/>
      <c r="G40" s="13"/>
    </row>
    <row r="41" customFormat="false" ht="15" hidden="false" customHeight="false" outlineLevel="0" collapsed="false">
      <c r="A41" s="14" t="s">
        <v>142</v>
      </c>
      <c r="B41" s="15" t="s">
        <v>143</v>
      </c>
      <c r="C41" s="16"/>
      <c r="D41" s="14"/>
      <c r="E41" s="14" t="s">
        <v>144</v>
      </c>
      <c r="F41" s="14" t="s">
        <v>145</v>
      </c>
      <c r="G41" s="5"/>
    </row>
    <row r="42" customFormat="false" ht="23.85" hidden="false" customHeight="false" outlineLevel="0" collapsed="false">
      <c r="A42" s="14" t="s">
        <v>146</v>
      </c>
      <c r="B42" s="15" t="s">
        <v>147</v>
      </c>
      <c r="C42" s="16"/>
      <c r="D42" s="14" t="s">
        <v>42</v>
      </c>
      <c r="E42" s="14" t="s">
        <v>148</v>
      </c>
      <c r="F42" s="14" t="s">
        <v>149</v>
      </c>
      <c r="G42" s="5"/>
    </row>
  </sheetData>
  <conditionalFormatting sqref="A5:G42">
    <cfRule type="expression" priority="2" aboveAverage="0" equalAverage="0" bottom="0" percent="0" rank="0" text="" dxfId="0">
      <formula>$G5="Yes"</formula>
    </cfRule>
  </conditionalFormatting>
  <dataValidations count="2">
    <dataValidation allowBlank="true" errorStyle="stop" operator="between" showDropDown="false" showErrorMessage="false" showInputMessage="false" sqref="G6:G7 G9 G12:G15 G17:G18 G23:G26 G28:G32 G34:G39 G41:G42" type="list">
      <formula1>"Yes"</formula1>
      <formula2>0</formula2>
    </dataValidation>
    <dataValidation allowBlank="true" errorStyle="stop" operator="between" showDropDown="false" showErrorMessage="false" showInputMessage="false" sqref="C6" type="list">
      <formula1>"Mac,Windows,Linux"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58"/>
    <col collapsed="false" customWidth="true" hidden="false" outlineLevel="0" max="3" min="3" style="0" width="100"/>
  </cols>
  <sheetData>
    <row r="1" customFormat="false" ht="17.35" hidden="false" customHeight="false" outlineLevel="0" collapsed="false">
      <c r="A1" s="8" t="s">
        <v>150</v>
      </c>
    </row>
    <row r="2" customFormat="false" ht="15" hidden="false" customHeight="false" outlineLevel="0" collapsed="false">
      <c r="A2" s="10" t="s">
        <v>151</v>
      </c>
    </row>
    <row r="4" customFormat="false" ht="15" hidden="false" customHeight="false" outlineLevel="0" collapsed="false">
      <c r="A4" s="20" t="s">
        <v>152</v>
      </c>
      <c r="B4" s="20" t="s">
        <v>153</v>
      </c>
      <c r="C4" s="20" t="s">
        <v>154</v>
      </c>
    </row>
    <row r="5" customFormat="false" ht="15" hidden="false" customHeight="false" outlineLevel="0" collapsed="false">
      <c r="A5" s="12" t="s">
        <v>155</v>
      </c>
      <c r="B5" s="13"/>
      <c r="C5" s="13"/>
    </row>
    <row r="6" customFormat="false" ht="15" hidden="false" customHeight="false" outlineLevel="0" collapsed="false">
      <c r="A6" s="14" t="s">
        <v>156</v>
      </c>
      <c r="B6" s="14" t="s">
        <v>157</v>
      </c>
      <c r="C6" s="21" t="str">
        <f aca="false">IF('My Info'!$C$9="","(fill in GitHub username on My Info first)","git clone "&amp;'My Info'!$C$10)</f>
        <v>(fill in GitHub username on My Info first)</v>
      </c>
    </row>
    <row r="7" customFormat="false" ht="15" hidden="false" customHeight="false" outlineLevel="0" collapsed="false">
      <c r="A7" s="12" t="s">
        <v>158</v>
      </c>
      <c r="B7" s="13"/>
      <c r="C7" s="13"/>
    </row>
    <row r="8" customFormat="false" ht="15" hidden="false" customHeight="false" outlineLevel="0" collapsed="false">
      <c r="A8" s="14" t="s">
        <v>159</v>
      </c>
      <c r="B8" s="14" t="s">
        <v>160</v>
      </c>
      <c r="C8" s="21" t="str">
        <f aca="false">IF('My Info'!$C$15="","(fill in Project ref on My Info first)","NEXT_PUBLIC_SUPABASE_URL="&amp;CHAR(34)&amp;'My Info'!$C$16&amp;CHAR(34))</f>
        <v>(fill in Project ref on My Info first)</v>
      </c>
    </row>
    <row r="9" customFormat="false" ht="15" hidden="false" customHeight="false" outlineLevel="0" collapsed="false">
      <c r="A9" s="14" t="s">
        <v>159</v>
      </c>
      <c r="B9" s="14" t="s">
        <v>161</v>
      </c>
      <c r="C9" s="21" t="str">
        <f aca="false">IF('My Info'!$C$17="","(fill in Supabase publishable key on My Info first)","NEXT_PUBLIC_SUPABASE_PUBLISHABLE_KEY="&amp;CHAR(34)&amp;'My Info'!$C$17&amp;CHAR(34))</f>
        <v>(fill in Supabase publishable key on My Info first)</v>
      </c>
    </row>
    <row r="10" customFormat="false" ht="15" hidden="false" customHeight="false" outlineLevel="0" collapsed="false">
      <c r="A10" s="12" t="s">
        <v>162</v>
      </c>
      <c r="B10" s="13"/>
      <c r="C10" s="13"/>
    </row>
    <row r="11" customFormat="false" ht="23.85" hidden="false" customHeight="false" outlineLevel="0" collapsed="false">
      <c r="A11" s="14" t="s">
        <v>156</v>
      </c>
      <c r="B11" s="14" t="s">
        <v>163</v>
      </c>
      <c r="C11" s="21" t="str">
        <f aca="false">"cd ~/projects/full-stack-demo-app/task-app"</f>
        <v>cd ~/projects/full-stack-demo-app/task-app</v>
      </c>
    </row>
    <row r="12" customFormat="false" ht="15" hidden="false" customHeight="false" outlineLevel="0" collapsed="false">
      <c r="A12" s="14" t="s">
        <v>156</v>
      </c>
      <c r="B12" s="14" t="s">
        <v>164</v>
      </c>
      <c r="C12" s="21" t="str">
        <f aca="false">"npm install -D supabase@latest"</f>
        <v>npm install -D supabase@latest</v>
      </c>
    </row>
    <row r="13" customFormat="false" ht="15" hidden="false" customHeight="false" outlineLevel="0" collapsed="false">
      <c r="A13" s="14" t="s">
        <v>156</v>
      </c>
      <c r="B13" s="14" t="s">
        <v>165</v>
      </c>
      <c r="C13" s="21" t="str">
        <f aca="false">"npx supabase login"</f>
        <v>npx supabase login</v>
      </c>
    </row>
    <row r="14" customFormat="false" ht="15" hidden="false" customHeight="false" outlineLevel="0" collapsed="false">
      <c r="A14" s="14" t="s">
        <v>156</v>
      </c>
      <c r="B14" s="14" t="s">
        <v>166</v>
      </c>
      <c r="C14" s="21" t="str">
        <f aca="false">IF('My Info'!$C$15="","(fill in Project ref on My Info first)","npx supabase link --project-ref "&amp;'My Info'!$C$15)</f>
        <v>(fill in Project ref on My Info first)</v>
      </c>
    </row>
    <row r="15" customFormat="false" ht="15" hidden="false" customHeight="false" outlineLevel="0" collapsed="false">
      <c r="A15" s="14" t="s">
        <v>156</v>
      </c>
      <c r="B15" s="14" t="s">
        <v>167</v>
      </c>
      <c r="C15" s="21" t="str">
        <f aca="false">"npx supabase db push"</f>
        <v>npx supabase db push</v>
      </c>
    </row>
    <row r="16" customFormat="false" ht="15" hidden="false" customHeight="false" outlineLevel="0" collapsed="false">
      <c r="A16" s="14" t="s">
        <v>156</v>
      </c>
      <c r="B16" s="14" t="s">
        <v>168</v>
      </c>
      <c r="C16" s="21" t="str">
        <f aca="false">IF('My Info'!$C$32="","(fill in OpenAI API key on My Info first)","npx supabase secrets set OPENAI_API_KEY="&amp;'My Info'!$C$32)</f>
        <v>(fill in OpenAI API key on My Info first)</v>
      </c>
    </row>
    <row r="17" customFormat="false" ht="15" hidden="false" customHeight="false" outlineLevel="0" collapsed="false">
      <c r="A17" s="14" t="s">
        <v>156</v>
      </c>
      <c r="B17" s="14" t="s">
        <v>169</v>
      </c>
      <c r="C17" s="21" t="str">
        <f aca="false">IF('My Info'!$C$36="","(fill in Stripe secret key on My Info first)","npx supabase secrets set STRIPE_SECRET_KEY="&amp;'My Info'!$C$36)</f>
        <v>(fill in Stripe secret key on My Info first)</v>
      </c>
    </row>
    <row r="18" customFormat="false" ht="15" hidden="false" customHeight="false" outlineLevel="0" collapsed="false">
      <c r="A18" s="14" t="s">
        <v>156</v>
      </c>
      <c r="B18" s="14" t="s">
        <v>170</v>
      </c>
      <c r="C18" s="21" t="str">
        <f aca="false">IF('My Info'!$C$38="","(fill in Stripe price ID on My Info first)","npx supabase secrets set STRIPE_PRICE_ID="&amp;'My Info'!$C$38)</f>
        <v>(fill in Stripe price ID on My Info first)</v>
      </c>
    </row>
    <row r="19" customFormat="false" ht="23.85" hidden="false" customHeight="false" outlineLevel="0" collapsed="false">
      <c r="A19" s="14" t="s">
        <v>156</v>
      </c>
      <c r="B19" s="14" t="s">
        <v>171</v>
      </c>
      <c r="C19" s="21" t="str">
        <f aca="false">IF('My Info'!$C$39="","(fill in Stripe webhook signing secret on My Info first)","npx supabase secrets set STRIPE_WEBHOOK_SECRET="&amp;'My Info'!$C$39)</f>
        <v>(fill in Stripe webhook signing secret on My Info first)</v>
      </c>
    </row>
    <row r="20" customFormat="false" ht="15" hidden="false" customHeight="false" outlineLevel="0" collapsed="false">
      <c r="A20" s="14" t="s">
        <v>156</v>
      </c>
      <c r="B20" s="14" t="s">
        <v>172</v>
      </c>
      <c r="C20" s="21" t="str">
        <f aca="false">"npx supabase functions deploy create-task-with-ai"</f>
        <v>npx supabase functions deploy create-task-with-ai</v>
      </c>
    </row>
    <row r="21" customFormat="false" ht="15" hidden="false" customHeight="false" outlineLevel="0" collapsed="false">
      <c r="A21" s="14" t="s">
        <v>156</v>
      </c>
      <c r="B21" s="14" t="s">
        <v>173</v>
      </c>
      <c r="C21" s="21" t="str">
        <f aca="false">"npx supabase functions deploy create-stripe-session"</f>
        <v>npx supabase functions deploy create-stripe-session</v>
      </c>
    </row>
    <row r="22" customFormat="false" ht="23.85" hidden="false" customHeight="false" outlineLevel="0" collapsed="false">
      <c r="A22" s="14" t="s">
        <v>156</v>
      </c>
      <c r="B22" s="14" t="s">
        <v>174</v>
      </c>
      <c r="C22" s="21" t="str">
        <f aca="false">"npx supabase functions deploy stripe-webhook --no-verify-jwt"</f>
        <v>npx supabase functions deploy stripe-webhook --no-verify-jwt</v>
      </c>
    </row>
    <row r="23" customFormat="false" ht="15" hidden="false" customHeight="false" outlineLevel="0" collapsed="false">
      <c r="A23" s="12" t="s">
        <v>175</v>
      </c>
      <c r="B23" s="13"/>
      <c r="C23" s="13"/>
    </row>
    <row r="24" customFormat="false" ht="15" hidden="false" customHeight="false" outlineLevel="0" collapsed="false">
      <c r="A24" s="14" t="s">
        <v>176</v>
      </c>
      <c r="B24" s="14" t="s">
        <v>177</v>
      </c>
      <c r="C24" s="21" t="str">
        <f aca="false">IF('My Info'!$C$36="","(fill in Stripe secret key on My Info first)","select vault.create_secret('"&amp;'My Info'!$C$36&amp;"', 'stripe');")</f>
        <v>(fill in Stripe secret key on My Info first)</v>
      </c>
    </row>
    <row r="25" customFormat="false" ht="15" hidden="false" customHeight="false" outlineLevel="0" collapsed="false">
      <c r="A25" s="12" t="s">
        <v>178</v>
      </c>
      <c r="B25" s="13"/>
      <c r="C25" s="13"/>
    </row>
    <row r="26" customFormat="false" ht="15" hidden="false" customHeight="false" outlineLevel="0" collapsed="false">
      <c r="A26" s="14" t="s">
        <v>179</v>
      </c>
      <c r="B26" s="14" t="s">
        <v>180</v>
      </c>
      <c r="C26" s="21" t="str">
        <f aca="false">"http://localhost:3000"</f>
        <v>http://localhost:3000</v>
      </c>
    </row>
    <row r="27" customFormat="false" ht="15" hidden="false" customHeight="false" outlineLevel="0" collapsed="false">
      <c r="A27" s="14" t="s">
        <v>179</v>
      </c>
      <c r="B27" s="14" t="s">
        <v>181</v>
      </c>
      <c r="C27" s="21" t="str">
        <f aca="false">IF('My Info'!$C$15="","(fill in Project ref on My Info first)",'My Info'!$C$19)</f>
        <v>(fill in Project ref on My Info first)</v>
      </c>
    </row>
    <row r="28" customFormat="false" ht="15" hidden="false" customHeight="false" outlineLevel="0" collapsed="false">
      <c r="A28" s="14" t="s">
        <v>182</v>
      </c>
      <c r="B28" s="14" t="s">
        <v>183</v>
      </c>
      <c r="C28" s="21" t="str">
        <f aca="false">"http://localhost:3000"</f>
        <v>http://localhost:3000</v>
      </c>
    </row>
    <row r="29" customFormat="false" ht="15" hidden="false" customHeight="false" outlineLevel="0" collapsed="false">
      <c r="A29" s="14" t="s">
        <v>182</v>
      </c>
      <c r="B29" s="14" t="s">
        <v>184</v>
      </c>
      <c r="C29" s="21" t="str">
        <f aca="false">"http://localhost:3000/**"</f>
        <v>http://localhost:3000/**</v>
      </c>
    </row>
    <row r="30" customFormat="false" ht="15" hidden="false" customHeight="false" outlineLevel="0" collapsed="false">
      <c r="A30" s="14" t="s">
        <v>185</v>
      </c>
      <c r="B30" s="14" t="s">
        <v>186</v>
      </c>
      <c r="C30" s="21" t="str">
        <f aca="false">IF('My Info'!$C$15="","(fill in Project ref on My Info first)",'My Info'!$C$20)</f>
        <v>(fill in Project ref on My Info first)</v>
      </c>
    </row>
    <row r="31" customFormat="false" ht="15" hidden="false" customHeight="false" outlineLevel="0" collapsed="false">
      <c r="A31" s="12" t="s">
        <v>187</v>
      </c>
      <c r="B31" s="13"/>
      <c r="C31" s="13"/>
    </row>
    <row r="32" customFormat="false" ht="15" hidden="false" customHeight="false" outlineLevel="0" collapsed="false">
      <c r="A32" s="14" t="s">
        <v>188</v>
      </c>
      <c r="B32" s="14" t="s">
        <v>189</v>
      </c>
      <c r="C32" s="21" t="str">
        <f aca="false">IF('My Info'!$C$15="","(fill in Project ref on My Info first)",'My Info'!$C$16)</f>
        <v>(fill in Project ref on My Info first)</v>
      </c>
    </row>
    <row r="33" customFormat="false" ht="23.85" hidden="false" customHeight="false" outlineLevel="0" collapsed="false">
      <c r="A33" s="14" t="s">
        <v>188</v>
      </c>
      <c r="B33" s="14" t="s">
        <v>190</v>
      </c>
      <c r="C33" s="21" t="str">
        <f aca="false">IF('My Info'!$C$17="","(fill in Supabase publishable key on My Info first)",'My Info'!$C$17)</f>
        <v>(fill in Supabase publishable key on My Info first)</v>
      </c>
    </row>
    <row r="34" customFormat="false" ht="15" hidden="false" customHeight="false" outlineLevel="0" collapsed="false">
      <c r="A34" s="14" t="s">
        <v>182</v>
      </c>
      <c r="B34" s="14" t="s">
        <v>191</v>
      </c>
      <c r="C34" s="21" t="str">
        <f aca="false">IF('My Info'!$C$42="","(fill in your Vercel address on My Info first)",'My Info'!$C$42)</f>
        <v>(fill in your Vercel address on My Info first)</v>
      </c>
    </row>
    <row r="35" customFormat="false" ht="15" hidden="false" customHeight="false" outlineLevel="0" collapsed="false">
      <c r="A35" s="14" t="s">
        <v>182</v>
      </c>
      <c r="B35" s="14" t="s">
        <v>192</v>
      </c>
      <c r="C35" s="21" t="str">
        <f aca="false">IF('My Info'!$C$42="","(fill in your Vercel address on My Info first)",'My Info'!$C$42&amp;"/**")</f>
        <v>(fill in your Vercel address on My Info first)</v>
      </c>
    </row>
    <row r="36" customFormat="false" ht="15" hidden="false" customHeight="false" outlineLevel="0" collapsed="false">
      <c r="A36" s="14" t="s">
        <v>179</v>
      </c>
      <c r="B36" s="14" t="s">
        <v>193</v>
      </c>
      <c r="C36" s="21" t="str">
        <f aca="false">IF('My Info'!$C$42="","(fill in your Vercel address on My Info first)",'My Info'!$C$42)</f>
        <v>(fill in your Vercel address on My Info first)</v>
      </c>
    </row>
    <row r="37" customFormat="false" ht="15" hidden="false" customHeight="false" outlineLevel="0" collapsed="false">
      <c r="A37" s="12" t="s">
        <v>194</v>
      </c>
      <c r="B37" s="13"/>
      <c r="C37" s="13"/>
    </row>
    <row r="38" customFormat="false" ht="15" hidden="false" customHeight="false" outlineLevel="0" collapsed="false">
      <c r="A38" s="14" t="s">
        <v>195</v>
      </c>
      <c r="B38" s="14" t="s">
        <v>160</v>
      </c>
      <c r="C38" s="21" t="str">
        <f aca="false">IF('My Info'!$C$15="","(fill in Project ref on My Info first)","NEXT_PUBLIC_SUPABASE_URL="&amp;CHAR(34)&amp;'My Info'!$C$16&amp;CHAR(34))</f>
        <v>(fill in Project ref on My Info first)</v>
      </c>
    </row>
    <row r="39" customFormat="false" ht="15" hidden="false" customHeight="false" outlineLevel="0" collapsed="false">
      <c r="A39" s="14" t="s">
        <v>195</v>
      </c>
      <c r="B39" s="14" t="s">
        <v>161</v>
      </c>
      <c r="C39" s="21" t="str">
        <f aca="false">IF('My Info'!$C$17="","(fill in Supabase publishable key on My Info first)","NEXT_PUBLIC_SUPABASE_PUBLISHABLE_KEY="&amp;CHAR(34)&amp;'My Info'!$C$17&amp;CHAR(34))</f>
        <v>(fill in Supabase publishable key on My Info first)</v>
      </c>
    </row>
    <row r="40" customFormat="false" ht="15" hidden="false" customHeight="false" outlineLevel="0" collapsed="false">
      <c r="A40" s="14" t="s">
        <v>195</v>
      </c>
      <c r="B40" s="14" t="s">
        <v>196</v>
      </c>
      <c r="C40" s="21" t="str">
        <f aca="false">IF('My Info'!$C$18="","(fill in Supabase secret key on My Info first)","SUPABASE_SECRET_KEY="&amp;CHAR(34)&amp;'My Info'!$C$18&amp;CHAR(34))</f>
        <v>(fill in Supabase secret key on My Info first)</v>
      </c>
    </row>
    <row r="41" customFormat="false" ht="15" hidden="false" customHeight="false" outlineLevel="0" collapsed="false">
      <c r="A41" s="14" t="s">
        <v>195</v>
      </c>
      <c r="B41" s="14" t="s">
        <v>197</v>
      </c>
      <c r="C41" s="21" t="str">
        <f aca="false">IF('My Info'!$C$36="","(fill in Stripe secret key on My Info first)","STRIPE_SECRET_KEY="&amp;CHAR(34)&amp;'My Info'!$C$36&amp;CHAR(34))</f>
        <v>(fill in Stripe secret key on My Info first)</v>
      </c>
    </row>
    <row r="42" customFormat="false" ht="15" hidden="false" customHeight="false" outlineLevel="0" collapsed="false">
      <c r="A42" s="14" t="s">
        <v>195</v>
      </c>
      <c r="B42" s="14" t="s">
        <v>198</v>
      </c>
      <c r="C42" s="21" t="str">
        <f aca="false">IF('My Info'!$C$38="","(fill in Stripe price ID on My Info first)","STRIPE_PRICE_ID="&amp;CHAR(34)&amp;'My Info'!$C$38&amp;CHAR(34))</f>
        <v>(fill in Stripe price ID on My Info first)</v>
      </c>
    </row>
    <row r="43" customFormat="false" ht="15" hidden="false" customHeight="false" outlineLevel="0" collapsed="false">
      <c r="A43" s="14" t="s">
        <v>195</v>
      </c>
      <c r="B43" s="14" t="s">
        <v>199</v>
      </c>
      <c r="C43" s="21" t="str">
        <f aca="false">IF('My Info'!$C$39="","(fill in Stripe webhook signing secret on My Info first)","STRIPE_WEBHOOK_SECRET="&amp;CHAR(34)&amp;'My Info'!$C$39&amp;CHAR(34))</f>
        <v>(fill in Stripe webhook signing secret on My Info first)</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2026-10-20T17:30:15Z</dcterms:created>
  <dc:creator>openpyxl</dc:creator>
  <dc:description/>
  <dc:language>en-US</dc:language>
  <cp:lastModifiedBy/>
  <dcterms:modified xsi:type="dcterms:W3CDTF">2026-10-20T17:30:15Z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